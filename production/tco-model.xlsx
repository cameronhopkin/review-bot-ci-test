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private/tmp/claude-501/-Users-cam-Library-Application-Support-Claude-scratch-workspaces-073cc56d-e57b-4afe-99cc-96e18972acde-131c691d-4602-4083-a7bf-9840e78ee096-scratch-2026-10-05-5340c2/b9c57bc3-ea76-4c7c-a368-ed1e8b16e377/scratchpad/"/>
    </mc:Choice>
  </mc:AlternateContent>
  <xr:revisionPtr revIDLastSave="0" documentId="11_02F0A1EFAC8D216793AD246456B9D2A9C7E7B4C5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Inputs" sheetId="1" r:id="rId1"/>
    <sheet name="TCO" sheetId="2" r:id="rId2"/>
    <sheet name="Sensitivit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D11" i="3"/>
  <c r="C11" i="3"/>
  <c r="E10" i="3"/>
  <c r="D10" i="3"/>
  <c r="C10" i="3"/>
  <c r="B10" i="3"/>
  <c r="G10" i="3" s="1"/>
  <c r="E8" i="3"/>
  <c r="D8" i="3"/>
  <c r="C8" i="3"/>
  <c r="E7" i="3"/>
  <c r="D7" i="3"/>
  <c r="G7" i="3" s="1"/>
  <c r="C7" i="3"/>
  <c r="B7" i="3"/>
  <c r="F7" i="3" s="1"/>
  <c r="E5" i="3"/>
  <c r="D5" i="3"/>
  <c r="C5" i="3"/>
  <c r="E4" i="3"/>
  <c r="D4" i="3"/>
  <c r="C4" i="3"/>
  <c r="B4" i="3"/>
  <c r="E17" i="2"/>
  <c r="D17" i="2"/>
  <c r="C17" i="2"/>
  <c r="B17" i="2"/>
  <c r="E15" i="2"/>
  <c r="D15" i="2"/>
  <c r="C15" i="2"/>
  <c r="B15" i="2"/>
  <c r="E14" i="2"/>
  <c r="D14" i="2"/>
  <c r="C14" i="2"/>
  <c r="B14" i="2"/>
  <c r="B13" i="2"/>
  <c r="E9" i="2"/>
  <c r="E12" i="2" s="1"/>
  <c r="E8" i="2"/>
  <c r="E12" i="3" s="1"/>
  <c r="D8" i="2"/>
  <c r="C8" i="2"/>
  <c r="B8" i="2"/>
  <c r="B12" i="3" s="1"/>
  <c r="E7" i="2"/>
  <c r="D7" i="2"/>
  <c r="C7" i="2"/>
  <c r="B7" i="2"/>
  <c r="B4" i="2"/>
  <c r="D18" i="2" s="1"/>
  <c r="D19" i="2" s="1"/>
  <c r="F10" i="3" l="1"/>
  <c r="B5" i="3"/>
  <c r="B8" i="3"/>
  <c r="B11" i="3"/>
  <c r="C18" i="2"/>
  <c r="C19" i="2" s="1"/>
  <c r="C13" i="2"/>
  <c r="B18" i="2"/>
  <c r="B19" i="2" s="1"/>
  <c r="B9" i="3"/>
  <c r="E18" i="2"/>
  <c r="E19" i="2" s="1"/>
  <c r="C6" i="3"/>
  <c r="C9" i="3"/>
  <c r="C12" i="3"/>
  <c r="G12" i="3" s="1"/>
  <c r="B6" i="3"/>
  <c r="B9" i="2"/>
  <c r="D6" i="3"/>
  <c r="D9" i="3"/>
  <c r="D12" i="3"/>
  <c r="D13" i="2"/>
  <c r="E6" i="3"/>
  <c r="E9" i="3"/>
  <c r="E11" i="2"/>
  <c r="B5" i="2"/>
  <c r="C9" i="2" s="1"/>
  <c r="E13" i="2"/>
  <c r="C12" i="2" l="1"/>
  <c r="C11" i="2"/>
  <c r="C16" i="2" s="1"/>
  <c r="C21" i="2" s="1"/>
  <c r="G8" i="3"/>
  <c r="F8" i="3"/>
  <c r="E16" i="2"/>
  <c r="E21" i="2" s="1"/>
  <c r="D9" i="2"/>
  <c r="F6" i="3"/>
  <c r="G6" i="3"/>
  <c r="F11" i="3"/>
  <c r="G11" i="3"/>
  <c r="F12" i="3"/>
  <c r="B12" i="2"/>
  <c r="B11" i="2"/>
  <c r="B16" i="2" s="1"/>
  <c r="B21" i="2" s="1"/>
  <c r="F9" i="3"/>
  <c r="G9" i="3"/>
  <c r="G5" i="3"/>
  <c r="F5" i="3"/>
  <c r="B24" i="2" l="1"/>
  <c r="B22" i="2"/>
  <c r="B23" i="2"/>
  <c r="E24" i="2"/>
  <c r="E22" i="2"/>
  <c r="E23" i="2"/>
  <c r="C24" i="2"/>
  <c r="C22" i="2"/>
  <c r="C23" i="2"/>
  <c r="D12" i="2"/>
  <c r="D11" i="2"/>
  <c r="D16" i="2" s="1"/>
  <c r="D21" i="2" s="1"/>
  <c r="D24" i="2" l="1"/>
  <c r="D22" i="2"/>
  <c r="D25" i="2"/>
  <c r="D23" i="2"/>
  <c r="C25" i="2"/>
  <c r="E25" i="2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TCO model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Start here. Every result scales from team size and pull request volume.</t>
        </r>
      </text>
    </comment>
  </commentList>
</comments>
</file>

<file path=xl/sharedStrings.xml><?xml version="1.0" encoding="utf-8"?>
<sst xmlns="http://schemas.openxmlformats.org/spreadsheetml/2006/main" count="109" uniqueCount="107">
  <si>
    <t>AI code review TCO: inputs</t>
  </si>
  <si>
    <t>Blue = an input you can change. Yellow = a key assumption: replace it with your own number. Black = a formula. Every default is explained in column F and on the Notes sheet.</t>
  </si>
  <si>
    <t>Your organization</t>
  </si>
  <si>
    <t>Developers</t>
  </si>
  <si>
    <t>People who open pull requests.</t>
  </si>
  <si>
    <t>Pull requests per developer per week</t>
  </si>
  <si>
    <t>Check your Git host's insights page.</t>
  </si>
  <si>
    <t>Working weeks per year</t>
  </si>
  <si>
    <t>Working hours per week</t>
  </si>
  <si>
    <t>Used to turn yearly volume into an hourly rate.</t>
  </si>
  <si>
    <t>Peak-hour factor</t>
  </si>
  <si>
    <t>Busiest hour as a multiple of the average hour. Sizes the servers.</t>
  </si>
  <si>
    <t>Engineer loaded cost per hour ($)</t>
  </si>
  <si>
    <t>Whoever runs and maintains the bot. Salary plus benefits and overhead.</t>
  </si>
  <si>
    <t>Developer loaded cost per hour ($)</t>
  </si>
  <si>
    <t>Whoever reads and triages the findings.</t>
  </si>
  <si>
    <t>Minutes to triage one finding</t>
  </si>
  <si>
    <t>Read it, check it, fix it or dismiss it.</t>
  </si>
  <si>
    <t>Electricity ($ per kWh)</t>
  </si>
  <si>
    <t>Use your facility rate.</t>
  </si>
  <si>
    <t>CI price per runner minute ($)</t>
  </si>
  <si>
    <t>Illustrative price for a 4-core, 16 GB hosted runner on a private repository. Check your provider's current pricing.</t>
  </si>
  <si>
    <t>Hardware life (years)</t>
  </si>
  <si>
    <t>Hardware cost is spread over this many years.</t>
  </si>
  <si>
    <t>Analysis horizon (years)</t>
  </si>
  <si>
    <t>How many years the TCO covers.</t>
  </si>
  <si>
    <t>Per option</t>
  </si>
  <si>
    <t>Item</t>
  </si>
  <si>
    <t>CI runner, 9B model</t>
  </si>
  <si>
    <t>Team server, 20B model</t>
  </si>
  <si>
    <t>GPU server, 120B-class</t>
  </si>
  <si>
    <t>Commercial SaaS</t>
  </si>
  <si>
    <t>Where the default comes from</t>
  </si>
  <si>
    <t>Model</t>
  </si>
  <si>
    <t>qwen3.5:9b</t>
  </si>
  <si>
    <t>gpt-oss:20b</t>
  </si>
  <si>
    <t>gpt-oss-120b</t>
  </si>
  <si>
    <t>Vendor model</t>
  </si>
  <si>
    <t>The workshop default, the Module 2 model, the scale-up reference, and a hosted product.</t>
  </si>
  <si>
    <t>Hardware cost per server ($)</t>
  </si>
  <si>
    <t>Illustrative. A desktop with 32 GB or more of GPU or unified memory for 20B; a server with one 80 GB GPU for 120B-class. Replace with a quote.</t>
  </si>
  <si>
    <t>Spare servers for availability</t>
  </si>
  <si>
    <t>Add 1 if a dead server must not stop reviews.</t>
  </si>
  <si>
    <t>Power draw per server (watts)</t>
  </si>
  <si>
    <t>Average draw under review load.</t>
  </si>
  <si>
    <t>Review time per pull request (seconds)</t>
  </si>
  <si>
    <t>CI runner: measured 8 to 12 minutes per job on a free 16 GB GitHub runner (October 2026), CPU only. Servers: estimates for a typical small pull request; time your own with --file.</t>
  </si>
  <si>
    <t>Concurrent reviews per server</t>
  </si>
  <si>
    <t>How many reviews one server runs at once without slowing down.</t>
  </si>
  <si>
    <t>CI minutes per pull request</t>
  </si>
  <si>
    <t>CI runner: the review runs on the runner. Servers: a 1-minute job that calls the server. SaaS: none.</t>
  </si>
  <si>
    <t>Seat price per developer per month ($)</t>
  </si>
  <si>
    <t>Illustrative list price for a commercial AI review product. Replace with your quote.</t>
  </si>
  <si>
    <t>Setup hours (one time)</t>
  </si>
  <si>
    <t>Workflow, prompts, rules, and for servers, the build. The workshop repository is the starting point for options 1 to 3.</t>
  </si>
  <si>
    <t>Security and compliance review hours (one time)</t>
  </si>
  <si>
    <t>SaaS sends source code off site: vendor review, data agreement, data residency. For some teams this is a blocker, not a cost.</t>
  </si>
  <si>
    <t>Maintenance hours per month</t>
  </si>
  <si>
    <t>Model updates, prompt and rule changes, false-positive tuning, the Module 6 checklist.</t>
  </si>
  <si>
    <t>Findings per pull request</t>
  </si>
  <si>
    <t>Placeholder, the same for all. Measure it in a pilot: eval-harness/score_planted.py shows found versus unmatched.</t>
  </si>
  <si>
    <t>Share of findings that are false positives</t>
  </si>
  <si>
    <t>Placeholder. Larger models were more precise in our Module 2 bake-off. Measure it in a pilot.</t>
  </si>
  <si>
    <t>AI code review TCO: results</t>
  </si>
  <si>
    <t>Every number here is a formula on the Inputs sheet. Green = pulled from Inputs.</t>
  </si>
  <si>
    <t>Pull requests per year</t>
  </si>
  <si>
    <t>Peak pull requests per hour</t>
  </si>
  <si>
    <t>Capacity per server (pull requests per hour, servers only)</t>
  </si>
  <si>
    <t>Servers needed</t>
  </si>
  <si>
    <t>Annual costs</t>
  </si>
  <si>
    <t>Hardware, spread over its life</t>
  </si>
  <si>
    <t>Power</t>
  </si>
  <si>
    <t>CI compute</t>
  </si>
  <si>
    <t>Seats</t>
  </si>
  <si>
    <t>Maintenance staff time</t>
  </si>
  <si>
    <t>Annual tool cost</t>
  </si>
  <si>
    <t>One-time setup and review</t>
  </si>
  <si>
    <t>Developer time triaging findings, per year</t>
  </si>
  <si>
    <t xml:space="preserve">  of which, time spent on false positives</t>
  </si>
  <si>
    <t>Over the analysis horizon</t>
  </si>
  <si>
    <t>Tool TCO</t>
  </si>
  <si>
    <t>TCO including developer triage time</t>
  </si>
  <si>
    <t>Tool cost per pull request</t>
  </si>
  <si>
    <t>Tool cost per developer per month</t>
  </si>
  <si>
    <t>Lowest tool TCO</t>
  </si>
  <si>
    <t>Read row 19 against row 16. Developer time spent on false positives usually costs more than the tool. Precision is a cost line, not just a quality score.</t>
  </si>
  <si>
    <t>Tool TCO by team size</t>
  </si>
  <si>
    <t>Same formulas as the TCO sheet, recomputed for each team size in column A (blue: change them). Servers are re-sized for each row.</t>
  </si>
  <si>
    <t>Lowest</t>
  </si>
  <si>
    <t>Cost per pull request, lowest</t>
  </si>
  <si>
    <t>How to use this model</t>
  </si>
  <si>
    <t>1. On Inputs, replace every yellow cell with your own number. Leave the rest until the yellow ones are right.</t>
  </si>
  <si>
    <t>2. Read TCO rows 16, 21 and 22. Row 19 is the cost of noise.</t>
  </si>
  <si>
    <t>3. Sensitivity shows where the cheapest option changes as the team grows.</t>
  </si>
  <si>
    <t>What the options mean</t>
  </si>
  <si>
    <t>CI runner, 9B model: the workshop setup. Ollama and qwen3.5:9b on a hosted 16 GB runner, nothing to buy, slow per review, no code leaves your CI.</t>
  </si>
  <si>
    <t>Team server, 20B model: one GPU desktop or Mac running gpt-oss:20b, called from a short CI job.</t>
  </si>
  <si>
    <t>GPU server, 120B-class: the Module 7 scale-up reference. One server with an 80 GB GPU running a 120B-class open-weight model.</t>
  </si>
  <si>
    <t>Commercial SaaS: a hosted AI review product priced per seat. Your source code is processed by the vendor.</t>
  </si>
  <si>
    <t>Where the numbers came from</t>
  </si>
  <si>
    <t>Measured in the workshop build, October 2026: a CI review job takes 8 to 12 minutes on a free 16 GB GitHub runner; one file reviews in about 10 seconds with qwen3.5:9b on an Apple M5 Max; a 4-core Codespace takes about 21 minutes for the whole target app.</t>
  </si>
  <si>
    <t>Estimates, not quotes: hardware prices, the seat price, the CI minute price, and every hours figure. They are there to make the model run. Replace them.</t>
  </si>
  <si>
    <t>Placeholders to measure in a pilot: findings per pull request and the false-positive share. Run the bot on a month of your own pull requests and score a sample by hand.</t>
  </si>
  <si>
    <t>What this model leaves out</t>
  </si>
  <si>
    <t>The value of the bugs caught. The model compares costs. A bot that costs more but catches one more access-control bug a year may still be the cheapest choice.</t>
  </si>
  <si>
    <t>Compliance as a yes or no. If your policy forbids sending source code off site, the SaaS column is not an option at any price.</t>
  </si>
  <si>
    <t>Hardware replacement inside the horizon. Hardware is spread over its life, so a horizon longer than the life understates refresh timing, not the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</si>
</sst>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#,##0.0;\(#,##0.0\);&quot;-&quot;"/>
    <numFmt numFmtId="166" formatCode="\$#,##0;\(\$#,##0\);&quot;-&quot;"/>
    <numFmt numFmtId="167" formatCode="\$#,##0.00;\(\$#,##0.00\);&quot;-&quot;"/>
    <numFmt numFmtId="168" formatCode="\$#,##0.000"/>
    <numFmt numFmtId="169" formatCode="0.0%;\(0.0%\);&quot;-&quot;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4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0" xfId="0" applyNumberFormat="1" applyFont="1" applyFill="1"/>
    <xf numFmtId="165" fontId="5" fillId="2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166" fontId="5" fillId="2" borderId="0" xfId="0" applyNumberFormat="1" applyFont="1" applyFill="1"/>
    <xf numFmtId="167" fontId="5" fillId="0" borderId="0" xfId="0" applyNumberFormat="1" applyFont="1"/>
    <xf numFmtId="168" fontId="5" fillId="0" borderId="0" xfId="0" applyNumberFormat="1" applyFont="1"/>
    <xf numFmtId="0" fontId="6" fillId="3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6" fontId="5" fillId="2" borderId="0" xfId="0" applyNumberFormat="1" applyFont="1" applyFill="1" applyAlignment="1">
      <alignment vertical="top"/>
    </xf>
    <xf numFmtId="164" fontId="5" fillId="0" borderId="0" xfId="0" applyNumberFormat="1" applyFont="1" applyAlignment="1">
      <alignment vertical="top"/>
    </xf>
    <xf numFmtId="164" fontId="5" fillId="2" borderId="0" xfId="0" applyNumberFormat="1" applyFont="1" applyFill="1" applyAlignment="1">
      <alignment vertical="top"/>
    </xf>
    <xf numFmtId="165" fontId="5" fillId="0" borderId="0" xfId="0" applyNumberFormat="1" applyFont="1" applyAlignment="1">
      <alignment vertical="top"/>
    </xf>
    <xf numFmtId="165" fontId="5" fillId="2" borderId="0" xfId="0" applyNumberFormat="1" applyFont="1" applyFill="1" applyAlignment="1">
      <alignment vertical="top"/>
    </xf>
    <xf numFmtId="169" fontId="5" fillId="2" borderId="0" xfId="0" applyNumberFormat="1" applyFont="1" applyFill="1" applyAlignment="1">
      <alignment vertical="top"/>
    </xf>
    <xf numFmtId="164" fontId="0" fillId="0" borderId="0" xfId="0" applyNumberFormat="1"/>
    <xf numFmtId="165" fontId="0" fillId="0" borderId="0" xfId="0" applyNumberFormat="1"/>
    <xf numFmtId="0" fontId="7" fillId="3" borderId="0" xfId="0" applyFont="1" applyFill="1"/>
    <xf numFmtId="165" fontId="4" fillId="0" borderId="0" xfId="0" applyNumberFormat="1" applyFont="1"/>
    <xf numFmtId="164" fontId="4" fillId="0" borderId="0" xfId="0" applyNumberFormat="1" applyFont="1"/>
    <xf numFmtId="0" fontId="6" fillId="0" borderId="0" xfId="0" applyFont="1"/>
    <xf numFmtId="166" fontId="4" fillId="0" borderId="0" xfId="0" applyNumberFormat="1" applyFont="1"/>
    <xf numFmtId="166" fontId="6" fillId="0" borderId="1" xfId="0" applyNumberFormat="1" applyFont="1" applyBorder="1"/>
    <xf numFmtId="167" fontId="4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Cost over the analysis horizon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TCO!$A$21</c:f>
              <c:strCache>
                <c:ptCount val="1"/>
                <c:pt idx="0">
                  <c:v>Tool TCO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TCO!$B$7:$E$7</c:f>
              <c:strCache>
                <c:ptCount val="4"/>
                <c:pt idx="0">
                  <c:v>CI runner, 9B model</c:v>
                </c:pt>
                <c:pt idx="1">
                  <c:v>Team server, 20B model</c:v>
                </c:pt>
                <c:pt idx="2">
                  <c:v>GPU server, 120B-class</c:v>
                </c:pt>
                <c:pt idx="3">
                  <c:v>Commercial SaaS</c:v>
                </c:pt>
              </c:strCache>
            </c:strRef>
          </c:cat>
          <c:val>
            <c:numRef>
              <c:f>TCO!$B$21:$E$21</c:f>
              <c:numCache>
                <c:formatCode>\$#,##0;\(\$#,##0\);"-"</c:formatCode>
                <c:ptCount val="4"/>
                <c:pt idx="0">
                  <c:v>30544</c:v>
                </c:pt>
                <c:pt idx="1">
                  <c:v>32405</c:v>
                </c:pt>
                <c:pt idx="2">
                  <c:v>94404.4</c:v>
                </c:pt>
                <c:pt idx="3">
                  <c:v>302060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9-AE46-9F99-72A67CE158EE}"/>
            </c:ext>
          </c:extLst>
        </c:ser>
        <c:ser>
          <c:idx val="1"/>
          <c:order val="1"/>
          <c:tx>
            <c:strRef>
              <c:f>TCO!$A$22</c:f>
              <c:strCache>
                <c:ptCount val="1"/>
                <c:pt idx="0">
                  <c:v>TCO including developer triage time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TCO!$B$7:$E$7</c:f>
              <c:strCache>
                <c:ptCount val="4"/>
                <c:pt idx="0">
                  <c:v>CI runner, 9B model</c:v>
                </c:pt>
                <c:pt idx="1">
                  <c:v>Team server, 20B model</c:v>
                </c:pt>
                <c:pt idx="2">
                  <c:v>GPU server, 120B-class</c:v>
                </c:pt>
                <c:pt idx="3">
                  <c:v>Commercial SaaS</c:v>
                </c:pt>
              </c:strCache>
            </c:strRef>
          </c:cat>
          <c:val>
            <c:numRef>
              <c:f>TCO!$B$22:$E$22</c:f>
              <c:numCache>
                <c:formatCode>\$#,##0;\(\$#,##0\);"-"</c:formatCode>
                <c:ptCount val="4"/>
                <c:pt idx="0">
                  <c:v>520144</c:v>
                </c:pt>
                <c:pt idx="1">
                  <c:v>522005</c:v>
                </c:pt>
                <c:pt idx="2">
                  <c:v>584004.4</c:v>
                </c:pt>
                <c:pt idx="3">
                  <c:v>791660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9-AE46-9F99-72A67CE15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</a:t>
                </a:r>
              </a:p>
            </c:rich>
          </c:tx>
          <c:overlay val="1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4" customWidth="1"/>
    <col min="2" max="5" width="22" customWidth="1"/>
    <col min="6" max="6" width="80" customWidth="1"/>
  </cols>
  <sheetData>
    <row r="1" spans="1:6" ht="18" x14ac:dyDescent="0.2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</row>
    <row r="5" spans="1:6" x14ac:dyDescent="0.2">
      <c r="A5" s="4" t="s">
        <v>3</v>
      </c>
      <c r="B5" s="5">
        <v>200</v>
      </c>
      <c r="F5" s="2" t="s">
        <v>4</v>
      </c>
    </row>
    <row r="6" spans="1:6" x14ac:dyDescent="0.2">
      <c r="A6" s="4" t="s">
        <v>5</v>
      </c>
      <c r="B6" s="6">
        <v>3</v>
      </c>
      <c r="F6" s="2" t="s">
        <v>6</v>
      </c>
    </row>
    <row r="7" spans="1:6" x14ac:dyDescent="0.2">
      <c r="A7" s="4" t="s">
        <v>7</v>
      </c>
      <c r="B7" s="7">
        <v>48</v>
      </c>
      <c r="F7" s="2"/>
    </row>
    <row r="8" spans="1:6" x14ac:dyDescent="0.2">
      <c r="A8" s="4" t="s">
        <v>8</v>
      </c>
      <c r="B8" s="7">
        <v>40</v>
      </c>
      <c r="F8" s="2" t="s">
        <v>9</v>
      </c>
    </row>
    <row r="9" spans="1:6" x14ac:dyDescent="0.2">
      <c r="A9" s="4" t="s">
        <v>10</v>
      </c>
      <c r="B9" s="8">
        <v>3</v>
      </c>
      <c r="F9" s="2" t="s">
        <v>11</v>
      </c>
    </row>
    <row r="10" spans="1:6" x14ac:dyDescent="0.2">
      <c r="A10" s="4" t="s">
        <v>12</v>
      </c>
      <c r="B10" s="9">
        <v>95</v>
      </c>
      <c r="F10" s="2" t="s">
        <v>13</v>
      </c>
    </row>
    <row r="11" spans="1:6" x14ac:dyDescent="0.2">
      <c r="A11" s="4" t="s">
        <v>14</v>
      </c>
      <c r="B11" s="9">
        <v>85</v>
      </c>
      <c r="F11" s="2" t="s">
        <v>15</v>
      </c>
    </row>
    <row r="12" spans="1:6" x14ac:dyDescent="0.2">
      <c r="A12" s="4" t="s">
        <v>16</v>
      </c>
      <c r="B12" s="6">
        <v>5</v>
      </c>
      <c r="F12" s="2" t="s">
        <v>17</v>
      </c>
    </row>
    <row r="13" spans="1:6" x14ac:dyDescent="0.2">
      <c r="A13" s="4" t="s">
        <v>18</v>
      </c>
      <c r="B13" s="10">
        <v>0.15</v>
      </c>
      <c r="F13" s="2" t="s">
        <v>19</v>
      </c>
    </row>
    <row r="14" spans="1:6" x14ac:dyDescent="0.2">
      <c r="A14" s="4" t="s">
        <v>20</v>
      </c>
      <c r="B14" s="11">
        <v>1.6E-2</v>
      </c>
      <c r="F14" s="2" t="s">
        <v>21</v>
      </c>
    </row>
    <row r="15" spans="1:6" x14ac:dyDescent="0.2">
      <c r="A15" s="4" t="s">
        <v>22</v>
      </c>
      <c r="B15" s="7">
        <v>3</v>
      </c>
      <c r="F15" s="2" t="s">
        <v>23</v>
      </c>
    </row>
    <row r="16" spans="1:6" x14ac:dyDescent="0.2">
      <c r="A16" s="4" t="s">
        <v>24</v>
      </c>
      <c r="B16" s="7">
        <v>3</v>
      </c>
      <c r="F16" s="2" t="s">
        <v>25</v>
      </c>
    </row>
    <row r="18" spans="1:6" x14ac:dyDescent="0.2">
      <c r="A18" s="3" t="s">
        <v>26</v>
      </c>
    </row>
    <row r="19" spans="1:6" x14ac:dyDescent="0.2">
      <c r="A19" s="12" t="s">
        <v>27</v>
      </c>
      <c r="B19" s="12" t="s">
        <v>28</v>
      </c>
      <c r="C19" s="12" t="s">
        <v>29</v>
      </c>
      <c r="D19" s="12" t="s">
        <v>30</v>
      </c>
      <c r="E19" s="12" t="s">
        <v>31</v>
      </c>
      <c r="F19" s="12" t="s">
        <v>32</v>
      </c>
    </row>
    <row r="20" spans="1:6" x14ac:dyDescent="0.2">
      <c r="A20" s="13" t="s">
        <v>33</v>
      </c>
      <c r="B20" s="14" t="s">
        <v>34</v>
      </c>
      <c r="C20" s="14" t="s">
        <v>35</v>
      </c>
      <c r="D20" s="14" t="s">
        <v>36</v>
      </c>
      <c r="E20" s="14" t="s">
        <v>37</v>
      </c>
      <c r="F20" s="15" t="s">
        <v>38</v>
      </c>
    </row>
    <row r="21" spans="1:6" ht="28" x14ac:dyDescent="0.2">
      <c r="A21" s="13" t="s">
        <v>39</v>
      </c>
      <c r="B21" s="16">
        <v>0</v>
      </c>
      <c r="C21" s="16">
        <v>4000</v>
      </c>
      <c r="D21" s="16">
        <v>45000</v>
      </c>
      <c r="E21" s="16">
        <v>0</v>
      </c>
      <c r="F21" s="15" t="s">
        <v>40</v>
      </c>
    </row>
    <row r="22" spans="1:6" x14ac:dyDescent="0.2">
      <c r="A22" s="13" t="s">
        <v>41</v>
      </c>
      <c r="B22" s="17">
        <v>0</v>
      </c>
      <c r="C22" s="17">
        <v>0</v>
      </c>
      <c r="D22" s="17">
        <v>0</v>
      </c>
      <c r="E22" s="17">
        <v>0</v>
      </c>
      <c r="F22" s="15" t="s">
        <v>42</v>
      </c>
    </row>
    <row r="23" spans="1:6" x14ac:dyDescent="0.2">
      <c r="A23" s="13" t="s">
        <v>43</v>
      </c>
      <c r="B23" s="17">
        <v>0</v>
      </c>
      <c r="C23" s="17">
        <v>300</v>
      </c>
      <c r="D23" s="17">
        <v>1000</v>
      </c>
      <c r="E23" s="17">
        <v>0</v>
      </c>
      <c r="F23" s="15" t="s">
        <v>44</v>
      </c>
    </row>
    <row r="24" spans="1:6" ht="28" x14ac:dyDescent="0.2">
      <c r="A24" s="13" t="s">
        <v>45</v>
      </c>
      <c r="B24" s="18">
        <v>600</v>
      </c>
      <c r="C24" s="18">
        <v>30</v>
      </c>
      <c r="D24" s="18">
        <v>20</v>
      </c>
      <c r="E24" s="18">
        <v>0</v>
      </c>
      <c r="F24" s="15" t="s">
        <v>46</v>
      </c>
    </row>
    <row r="25" spans="1:6" x14ac:dyDescent="0.2">
      <c r="A25" s="13" t="s">
        <v>47</v>
      </c>
      <c r="B25" s="17">
        <v>1</v>
      </c>
      <c r="C25" s="17">
        <v>2</v>
      </c>
      <c r="D25" s="17">
        <v>4</v>
      </c>
      <c r="E25" s="17">
        <v>0</v>
      </c>
      <c r="F25" s="15" t="s">
        <v>48</v>
      </c>
    </row>
    <row r="26" spans="1:6" x14ac:dyDescent="0.2">
      <c r="A26" s="13" t="s">
        <v>49</v>
      </c>
      <c r="B26" s="19">
        <v>10</v>
      </c>
      <c r="C26" s="19">
        <v>1</v>
      </c>
      <c r="D26" s="19">
        <v>1</v>
      </c>
      <c r="E26" s="19">
        <v>0</v>
      </c>
      <c r="F26" s="15" t="s">
        <v>50</v>
      </c>
    </row>
    <row r="27" spans="1:6" x14ac:dyDescent="0.2">
      <c r="A27" s="13" t="s">
        <v>51</v>
      </c>
      <c r="B27" s="16">
        <v>0</v>
      </c>
      <c r="C27" s="16">
        <v>0</v>
      </c>
      <c r="D27" s="16">
        <v>0</v>
      </c>
      <c r="E27" s="16">
        <v>40</v>
      </c>
      <c r="F27" s="15" t="s">
        <v>52</v>
      </c>
    </row>
    <row r="28" spans="1:6" ht="28" x14ac:dyDescent="0.2">
      <c r="A28" s="13" t="s">
        <v>53</v>
      </c>
      <c r="B28" s="18">
        <v>24</v>
      </c>
      <c r="C28" s="18">
        <v>40</v>
      </c>
      <c r="D28" s="18">
        <v>80</v>
      </c>
      <c r="E28" s="18">
        <v>16</v>
      </c>
      <c r="F28" s="15" t="s">
        <v>54</v>
      </c>
    </row>
    <row r="29" spans="1:6" ht="28" x14ac:dyDescent="0.2">
      <c r="A29" s="13" t="s">
        <v>55</v>
      </c>
      <c r="B29" s="18">
        <v>8</v>
      </c>
      <c r="C29" s="18">
        <v>16</v>
      </c>
      <c r="D29" s="18">
        <v>24</v>
      </c>
      <c r="E29" s="18">
        <v>60</v>
      </c>
      <c r="F29" s="15" t="s">
        <v>56</v>
      </c>
    </row>
    <row r="30" spans="1:6" x14ac:dyDescent="0.2">
      <c r="A30" s="13" t="s">
        <v>57</v>
      </c>
      <c r="B30" s="18">
        <v>4</v>
      </c>
      <c r="C30" s="18">
        <v>6</v>
      </c>
      <c r="D30" s="18">
        <v>10</v>
      </c>
      <c r="E30" s="18">
        <v>2</v>
      </c>
      <c r="F30" s="15" t="s">
        <v>58</v>
      </c>
    </row>
    <row r="31" spans="1:6" ht="28" x14ac:dyDescent="0.2">
      <c r="A31" s="13" t="s">
        <v>59</v>
      </c>
      <c r="B31" s="20">
        <v>0.8</v>
      </c>
      <c r="C31" s="20">
        <v>0.8</v>
      </c>
      <c r="D31" s="20">
        <v>0.8</v>
      </c>
      <c r="E31" s="20">
        <v>0.8</v>
      </c>
      <c r="F31" s="15" t="s">
        <v>60</v>
      </c>
    </row>
    <row r="32" spans="1:6" x14ac:dyDescent="0.2">
      <c r="A32" s="13" t="s">
        <v>61</v>
      </c>
      <c r="B32" s="21">
        <v>0.3</v>
      </c>
      <c r="C32" s="21">
        <v>0.25</v>
      </c>
      <c r="D32" s="21">
        <v>0.2</v>
      </c>
      <c r="E32" s="21">
        <v>0.3</v>
      </c>
      <c r="F32" s="15" t="s">
        <v>62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baseColWidth="10" defaultColWidth="8.83203125" defaultRowHeight="15" x14ac:dyDescent="0.2"/>
  <cols>
    <col min="1" max="1" width="46" customWidth="1"/>
    <col min="2" max="5" width="24" customWidth="1"/>
  </cols>
  <sheetData>
    <row r="1" spans="1:5" ht="18" x14ac:dyDescent="0.2">
      <c r="A1" s="1" t="s">
        <v>63</v>
      </c>
    </row>
    <row r="2" spans="1:5" x14ac:dyDescent="0.2">
      <c r="A2" s="2" t="s">
        <v>64</v>
      </c>
    </row>
    <row r="4" spans="1:5" x14ac:dyDescent="0.2">
      <c r="A4" t="s">
        <v>65</v>
      </c>
      <c r="B4" s="22">
        <f>Inputs!B5*Inputs!B6*Inputs!B7</f>
        <v>28800</v>
      </c>
    </row>
    <row r="5" spans="1:5" x14ac:dyDescent="0.2">
      <c r="A5" t="s">
        <v>66</v>
      </c>
      <c r="B5" s="23">
        <f>B4/(Inputs!B7*Inputs!B8)*Inputs!B9</f>
        <v>45</v>
      </c>
    </row>
    <row r="7" spans="1:5" x14ac:dyDescent="0.2">
      <c r="A7" s="12" t="s">
        <v>27</v>
      </c>
      <c r="B7" s="24" t="str">
        <f>Inputs!B19</f>
        <v>CI runner, 9B model</v>
      </c>
      <c r="C7" s="24" t="str">
        <f>Inputs!C19</f>
        <v>Team server, 20B model</v>
      </c>
      <c r="D7" s="24" t="str">
        <f>Inputs!D19</f>
        <v>GPU server, 120B-class</v>
      </c>
      <c r="E7" s="24" t="str">
        <f>Inputs!E19</f>
        <v>Commercial SaaS</v>
      </c>
    </row>
    <row r="8" spans="1:5" x14ac:dyDescent="0.2">
      <c r="A8" s="4" t="s">
        <v>67</v>
      </c>
      <c r="B8" s="25">
        <f>IF(Inputs!B24*Inputs!B25=0,0,3600/Inputs!B24*Inputs!B25)</f>
        <v>6</v>
      </c>
      <c r="C8" s="25">
        <f>IF(Inputs!C24*Inputs!C25=0,0,3600/Inputs!C24*Inputs!C25)</f>
        <v>240</v>
      </c>
      <c r="D8" s="25">
        <f>IF(Inputs!D24*Inputs!D25=0,0,3600/Inputs!D24*Inputs!D25)</f>
        <v>720</v>
      </c>
      <c r="E8" s="25">
        <f>IF(Inputs!E24*Inputs!E25=0,0,3600/Inputs!E24*Inputs!E25)</f>
        <v>0</v>
      </c>
    </row>
    <row r="9" spans="1:5" x14ac:dyDescent="0.2">
      <c r="A9" s="4" t="s">
        <v>68</v>
      </c>
      <c r="B9" s="26">
        <f>IF(OR(Inputs!B21=0,B8=0),0,MAX(1,ROUNDUP($B$5/B8,0))+Inputs!B22)</f>
        <v>0</v>
      </c>
      <c r="C9" s="26">
        <f>IF(OR(Inputs!C21=0,C8=0),0,MAX(1,ROUNDUP($B$5/C8,0))+Inputs!C22)</f>
        <v>1</v>
      </c>
      <c r="D9" s="26">
        <f>IF(OR(Inputs!D21=0,D8=0),0,MAX(1,ROUNDUP($B$5/D8,0))+Inputs!D22)</f>
        <v>1</v>
      </c>
      <c r="E9" s="26">
        <f>IF(OR(Inputs!E21=0,E8=0),0,MAX(1,ROUNDUP($B$5/E8,0))+Inputs!E22)</f>
        <v>0</v>
      </c>
    </row>
    <row r="10" spans="1:5" x14ac:dyDescent="0.2">
      <c r="A10" s="27" t="s">
        <v>69</v>
      </c>
    </row>
    <row r="11" spans="1:5" x14ac:dyDescent="0.2">
      <c r="A11" s="4" t="s">
        <v>70</v>
      </c>
      <c r="B11" s="28">
        <f>B9*Inputs!B21/Inputs!$B$15</f>
        <v>0</v>
      </c>
      <c r="C11" s="28">
        <f>C9*Inputs!C21/Inputs!$B$15</f>
        <v>1333.3333333333333</v>
      </c>
      <c r="D11" s="28">
        <f>D9*Inputs!D21/Inputs!$B$15</f>
        <v>15000</v>
      </c>
      <c r="E11" s="28">
        <f>E9*Inputs!E21/Inputs!$B$15</f>
        <v>0</v>
      </c>
    </row>
    <row r="12" spans="1:5" x14ac:dyDescent="0.2">
      <c r="A12" s="4" t="s">
        <v>71</v>
      </c>
      <c r="B12" s="28">
        <f>B9*Inputs!B23/1000*8760*Inputs!$B$13</f>
        <v>0</v>
      </c>
      <c r="C12" s="28">
        <f>C9*Inputs!C23/1000*8760*Inputs!$B$13</f>
        <v>394.2</v>
      </c>
      <c r="D12" s="28">
        <f>D9*Inputs!D23/1000*8760*Inputs!$B$13</f>
        <v>1314</v>
      </c>
      <c r="E12" s="28">
        <f>E9*Inputs!E23/1000*8760*Inputs!$B$13</f>
        <v>0</v>
      </c>
    </row>
    <row r="13" spans="1:5" x14ac:dyDescent="0.2">
      <c r="A13" s="4" t="s">
        <v>72</v>
      </c>
      <c r="B13" s="28">
        <f>$B$4*Inputs!B26*Inputs!$B$14</f>
        <v>4608</v>
      </c>
      <c r="C13" s="28">
        <f>$B$4*Inputs!C26*Inputs!$B$14</f>
        <v>460.8</v>
      </c>
      <c r="D13" s="28">
        <f>$B$4*Inputs!D26*Inputs!$B$14</f>
        <v>460.8</v>
      </c>
      <c r="E13" s="28">
        <f>$B$4*Inputs!E26*Inputs!$B$14</f>
        <v>0</v>
      </c>
    </row>
    <row r="14" spans="1:5" x14ac:dyDescent="0.2">
      <c r="A14" s="4" t="s">
        <v>73</v>
      </c>
      <c r="B14" s="28">
        <f>Inputs!$B$5*Inputs!B27*12</f>
        <v>0</v>
      </c>
      <c r="C14" s="28">
        <f>Inputs!$B$5*Inputs!C27*12</f>
        <v>0</v>
      </c>
      <c r="D14" s="28">
        <f>Inputs!$B$5*Inputs!D27*12</f>
        <v>0</v>
      </c>
      <c r="E14" s="28">
        <f>Inputs!$B$5*Inputs!E27*12</f>
        <v>96000</v>
      </c>
    </row>
    <row r="15" spans="1:5" x14ac:dyDescent="0.2">
      <c r="A15" s="4" t="s">
        <v>74</v>
      </c>
      <c r="B15" s="28">
        <f>Inputs!B30*12*Inputs!$B$10</f>
        <v>4560</v>
      </c>
      <c r="C15" s="28">
        <f>Inputs!C30*12*Inputs!$B$10</f>
        <v>6840</v>
      </c>
      <c r="D15" s="28">
        <f>Inputs!D30*12*Inputs!$B$10</f>
        <v>11400</v>
      </c>
      <c r="E15" s="28">
        <f>Inputs!E30*12*Inputs!$B$10</f>
        <v>2280</v>
      </c>
    </row>
    <row r="16" spans="1:5" x14ac:dyDescent="0.2">
      <c r="A16" s="27" t="s">
        <v>75</v>
      </c>
      <c r="B16" s="29">
        <f>SUM(B11:B15)</f>
        <v>9168</v>
      </c>
      <c r="C16" s="29">
        <f>SUM(C11:C15)</f>
        <v>9028.3333333333339</v>
      </c>
      <c r="D16" s="29">
        <f>SUM(D11:D15)</f>
        <v>28174.799999999999</v>
      </c>
      <c r="E16" s="29">
        <f>SUM(E11:E15)</f>
        <v>98280</v>
      </c>
    </row>
    <row r="17" spans="1:5" x14ac:dyDescent="0.2">
      <c r="A17" s="4" t="s">
        <v>76</v>
      </c>
      <c r="B17" s="28">
        <f>(Inputs!B28+Inputs!B29)*Inputs!$B$10</f>
        <v>3040</v>
      </c>
      <c r="C17" s="28">
        <f>(Inputs!C28+Inputs!C29)*Inputs!$B$10</f>
        <v>5320</v>
      </c>
      <c r="D17" s="28">
        <f>(Inputs!D28+Inputs!D29)*Inputs!$B$10</f>
        <v>9880</v>
      </c>
      <c r="E17" s="28">
        <f>(Inputs!E28+Inputs!E29)*Inputs!$B$10</f>
        <v>7220</v>
      </c>
    </row>
    <row r="18" spans="1:5" x14ac:dyDescent="0.2">
      <c r="A18" s="4" t="s">
        <v>77</v>
      </c>
      <c r="B18" s="28">
        <f>$B$4*Inputs!B31*Inputs!$B$12/60*Inputs!$B$11</f>
        <v>163200</v>
      </c>
      <c r="C18" s="28">
        <f>$B$4*Inputs!C31*Inputs!$B$12/60*Inputs!$B$11</f>
        <v>163200</v>
      </c>
      <c r="D18" s="28">
        <f>$B$4*Inputs!D31*Inputs!$B$12/60*Inputs!$B$11</f>
        <v>163200</v>
      </c>
      <c r="E18" s="28">
        <f>$B$4*Inputs!E31*Inputs!$B$12/60*Inputs!$B$11</f>
        <v>163200</v>
      </c>
    </row>
    <row r="19" spans="1:5" x14ac:dyDescent="0.2">
      <c r="A19" s="4" t="s">
        <v>78</v>
      </c>
      <c r="B19" s="28">
        <f>B18*Inputs!B32</f>
        <v>48960</v>
      </c>
      <c r="C19" s="28">
        <f>C18*Inputs!C32</f>
        <v>40800</v>
      </c>
      <c r="D19" s="28">
        <f>D18*Inputs!D32</f>
        <v>32640</v>
      </c>
      <c r="E19" s="28">
        <f>E18*Inputs!E32</f>
        <v>48960</v>
      </c>
    </row>
    <row r="20" spans="1:5" x14ac:dyDescent="0.2">
      <c r="A20" s="27" t="s">
        <v>79</v>
      </c>
    </row>
    <row r="21" spans="1:5" x14ac:dyDescent="0.2">
      <c r="A21" s="27" t="s">
        <v>80</v>
      </c>
      <c r="B21" s="29">
        <f>B17+B16*Inputs!$B$16</f>
        <v>30544</v>
      </c>
      <c r="C21" s="29">
        <f>C17+C16*Inputs!$B$16</f>
        <v>32405</v>
      </c>
      <c r="D21" s="29">
        <f>D17+D16*Inputs!$B$16</f>
        <v>94404.4</v>
      </c>
      <c r="E21" s="29">
        <f>E17+E16*Inputs!$B$16</f>
        <v>302060</v>
      </c>
    </row>
    <row r="22" spans="1:5" x14ac:dyDescent="0.2">
      <c r="A22" s="27" t="s">
        <v>81</v>
      </c>
      <c r="B22" s="29">
        <f>B21+B18*Inputs!$B$16</f>
        <v>520144</v>
      </c>
      <c r="C22" s="29">
        <f>C21+C18*Inputs!$B$16</f>
        <v>522005</v>
      </c>
      <c r="D22" s="29">
        <f>D21+D18*Inputs!$B$16</f>
        <v>584004.4</v>
      </c>
      <c r="E22" s="29">
        <f>E21+E18*Inputs!$B$16</f>
        <v>791660</v>
      </c>
    </row>
    <row r="23" spans="1:5" x14ac:dyDescent="0.2">
      <c r="A23" s="4" t="s">
        <v>82</v>
      </c>
      <c r="B23" s="30">
        <f>IF($B$4=0,0,B21/($B$4*Inputs!$B$16))</f>
        <v>0.35351851851851851</v>
      </c>
      <c r="C23" s="30">
        <f>IF($B$4=0,0,C21/($B$4*Inputs!$B$16))</f>
        <v>0.37505787037037036</v>
      </c>
      <c r="D23" s="30">
        <f>IF($B$4=0,0,D21/($B$4*Inputs!$B$16))</f>
        <v>1.0926435185185184</v>
      </c>
      <c r="E23" s="30">
        <f>IF($B$4=0,0,E21/($B$4*Inputs!$B$16))</f>
        <v>3.4960648148148148</v>
      </c>
    </row>
    <row r="24" spans="1:5" x14ac:dyDescent="0.2">
      <c r="A24" s="4" t="s">
        <v>83</v>
      </c>
      <c r="B24" s="30">
        <f>IF(Inputs!$B$5=0,0,B21/(Inputs!$B$5*12*Inputs!$B$16))</f>
        <v>4.2422222222222219</v>
      </c>
      <c r="C24" s="30">
        <f>IF(Inputs!$B$5=0,0,C21/(Inputs!$B$5*12*Inputs!$B$16))</f>
        <v>4.5006944444444441</v>
      </c>
      <c r="D24" s="30">
        <f>IF(Inputs!$B$5=0,0,D21/(Inputs!$B$5*12*Inputs!$B$16))</f>
        <v>13.111722222222221</v>
      </c>
      <c r="E24" s="30">
        <f>IF(Inputs!$B$5=0,0,E21/(Inputs!$B$5*12*Inputs!$B$16))</f>
        <v>41.952777777777776</v>
      </c>
    </row>
    <row r="25" spans="1:5" x14ac:dyDescent="0.2">
      <c r="A25" s="4" t="s">
        <v>84</v>
      </c>
      <c r="B25" s="4" t="str">
        <f>IF(B21=MIN($B$21:$E$21),"lowest","")</f>
        <v>lowest</v>
      </c>
      <c r="C25" s="4" t="str">
        <f>IF(C21=MIN($B$21:$E$21),"lowest","")</f>
        <v/>
      </c>
      <c r="D25" s="4" t="str">
        <f>IF(D21=MIN($B$21:$E$21),"lowest","")</f>
        <v/>
      </c>
      <c r="E25" s="4" t="str">
        <f>IF(E21=MIN($B$21:$E$21),"lowest","")</f>
        <v/>
      </c>
    </row>
    <row r="27" spans="1:5" x14ac:dyDescent="0.2">
      <c r="A27" s="2" t="s">
        <v>85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baseColWidth="10" defaultColWidth="8.83203125" defaultRowHeight="15" x14ac:dyDescent="0.2"/>
  <cols>
    <col min="1" max="1" width="14" customWidth="1"/>
    <col min="2" max="6" width="24" customWidth="1"/>
    <col min="7" max="7" width="28" customWidth="1"/>
  </cols>
  <sheetData>
    <row r="1" spans="1:7" ht="18" x14ac:dyDescent="0.2">
      <c r="A1" s="1" t="s">
        <v>86</v>
      </c>
    </row>
    <row r="2" spans="1:7" x14ac:dyDescent="0.2">
      <c r="A2" s="2" t="s">
        <v>87</v>
      </c>
    </row>
    <row r="4" spans="1:7" x14ac:dyDescent="0.2">
      <c r="A4" s="12" t="s">
        <v>3</v>
      </c>
      <c r="B4" s="24" t="str">
        <f>Inputs!B19</f>
        <v>CI runner, 9B model</v>
      </c>
      <c r="C4" s="24" t="str">
        <f>Inputs!C19</f>
        <v>Team server, 20B model</v>
      </c>
      <c r="D4" s="24" t="str">
        <f>Inputs!D19</f>
        <v>GPU server, 120B-class</v>
      </c>
      <c r="E4" s="24" t="str">
        <f>Inputs!E19</f>
        <v>Commercial SaaS</v>
      </c>
      <c r="F4" s="12" t="s">
        <v>88</v>
      </c>
      <c r="G4" s="12" t="s">
        <v>89</v>
      </c>
    </row>
    <row r="5" spans="1:7" x14ac:dyDescent="0.2">
      <c r="A5" s="7">
        <v>10</v>
      </c>
      <c r="B5" s="28">
        <f>(Inputs!B28+Inputs!B29)*Inputs!$B$10+(IF(OR(Inputs!B21=0,TCO!B8=0),0,MAX(1,ROUNDUP((($A5*Inputs!$B$6*Inputs!$B$7)/(Inputs!$B$7*Inputs!$B$8)*Inputs!$B$9)/TCO!B8,0))+Inputs!B22)*Inputs!B21/Inputs!$B$15+IF(OR(Inputs!B21=0,TCO!B8=0),0,MAX(1,ROUNDUP((($A5*Inputs!$B$6*Inputs!$B$7)/(Inputs!$B$7*Inputs!$B$8)*Inputs!$B$9)/TCO!B8,0))+Inputs!B22)*Inputs!B23/1000*8760*Inputs!$B$13+($A5*Inputs!$B$6*Inputs!$B$7)*Inputs!B26*Inputs!$B$14+$A5*Inputs!B27*12+Inputs!B30*12*Inputs!$B$10)*Inputs!$B$16</f>
        <v>17411.199999999997</v>
      </c>
      <c r="C5" s="28">
        <f>(Inputs!C28+Inputs!C29)*Inputs!$B$10+(IF(OR(Inputs!C21=0,TCO!C8=0),0,MAX(1,ROUNDUP((($A5*Inputs!$B$6*Inputs!$B$7)/(Inputs!$B$7*Inputs!$B$8)*Inputs!$B$9)/TCO!C8,0))+Inputs!C22)*Inputs!C21/Inputs!$B$15+IF(OR(Inputs!C21=0,TCO!C8=0),0,MAX(1,ROUNDUP((($A5*Inputs!$B$6*Inputs!$B$7)/(Inputs!$B$7*Inputs!$B$8)*Inputs!$B$9)/TCO!C8,0))+Inputs!C22)*Inputs!C23/1000*8760*Inputs!$B$13+($A5*Inputs!$B$6*Inputs!$B$7)*Inputs!C26*Inputs!$B$14+$A5*Inputs!C27*12+Inputs!C30*12*Inputs!$B$10)*Inputs!$B$16</f>
        <v>31091.72</v>
      </c>
      <c r="D5" s="28">
        <f>(Inputs!D28+Inputs!D29)*Inputs!$B$10+(IF(OR(Inputs!D21=0,TCO!D8=0),0,MAX(1,ROUNDUP((($A5*Inputs!$B$6*Inputs!$B$7)/(Inputs!$B$7*Inputs!$B$8)*Inputs!$B$9)/TCO!D8,0))+Inputs!D22)*Inputs!D21/Inputs!$B$15+IF(OR(Inputs!D21=0,TCO!D8=0),0,MAX(1,ROUNDUP((($A5*Inputs!$B$6*Inputs!$B$7)/(Inputs!$B$7*Inputs!$B$8)*Inputs!$B$9)/TCO!D8,0))+Inputs!D22)*Inputs!D23/1000*8760*Inputs!$B$13+($A5*Inputs!$B$6*Inputs!$B$7)*Inputs!D26*Inputs!$B$14+$A5*Inputs!D27*12+Inputs!D30*12*Inputs!$B$10)*Inputs!$B$16</f>
        <v>93091.12</v>
      </c>
      <c r="E5" s="28">
        <f>(Inputs!E28+Inputs!E29)*Inputs!$B$10+(IF(OR(Inputs!E21=0,TCO!E8=0),0,MAX(1,ROUNDUP((($A5*Inputs!$B$6*Inputs!$B$7)/(Inputs!$B$7*Inputs!$B$8)*Inputs!$B$9)/TCO!E8,0))+Inputs!E22)*Inputs!E21/Inputs!$B$15+IF(OR(Inputs!E21=0,TCO!E8=0),0,MAX(1,ROUNDUP((($A5*Inputs!$B$6*Inputs!$B$7)/(Inputs!$B$7*Inputs!$B$8)*Inputs!$B$9)/TCO!E8,0))+Inputs!E22)*Inputs!E23/1000*8760*Inputs!$B$13+($A5*Inputs!$B$6*Inputs!$B$7)*Inputs!E26*Inputs!$B$14+$A5*Inputs!E27*12+Inputs!E30*12*Inputs!$B$10)*Inputs!$B$16</f>
        <v>28460</v>
      </c>
      <c r="F5" s="4" t="str">
        <f t="shared" ref="F5:F12" si="0">INDEX($B$4:$E$4,MATCH(MIN(B5:E5),B5:E5,0))</f>
        <v>CI runner, 9B model</v>
      </c>
      <c r="G5" s="30">
        <f>IF(($A5*Inputs!$B$6*Inputs!$B$7)=0,0,MIN(B5:E5)/(($A5*Inputs!$B$6*Inputs!$B$7)*Inputs!$B$16))</f>
        <v>4.0303703703703695</v>
      </c>
    </row>
    <row r="6" spans="1:7" x14ac:dyDescent="0.2">
      <c r="A6" s="7">
        <v>25</v>
      </c>
      <c r="B6" s="28">
        <f>(Inputs!B28+Inputs!B29)*Inputs!$B$10+(IF(OR(Inputs!B21=0,TCO!B8=0),0,MAX(1,ROUNDUP((($A6*Inputs!$B$6*Inputs!$B$7)/(Inputs!$B$7*Inputs!$B$8)*Inputs!$B$9)/TCO!B8,0))+Inputs!B22)*Inputs!B21/Inputs!$B$15+IF(OR(Inputs!B21=0,TCO!B8=0),0,MAX(1,ROUNDUP((($A6*Inputs!$B$6*Inputs!$B$7)/(Inputs!$B$7*Inputs!$B$8)*Inputs!$B$9)/TCO!B8,0))+Inputs!B22)*Inputs!B23/1000*8760*Inputs!$B$13+($A6*Inputs!$B$6*Inputs!$B$7)*Inputs!B26*Inputs!$B$14+$A6*Inputs!B27*12+Inputs!B30*12*Inputs!$B$10)*Inputs!$B$16</f>
        <v>18448</v>
      </c>
      <c r="C6" s="28">
        <f>(Inputs!C28+Inputs!C29)*Inputs!$B$10+(IF(OR(Inputs!C21=0,TCO!C8=0),0,MAX(1,ROUNDUP((($A6*Inputs!$B$6*Inputs!$B$7)/(Inputs!$B$7*Inputs!$B$8)*Inputs!$B$9)/TCO!C8,0))+Inputs!C22)*Inputs!C21/Inputs!$B$15+IF(OR(Inputs!C21=0,TCO!C8=0),0,MAX(1,ROUNDUP((($A6*Inputs!$B$6*Inputs!$B$7)/(Inputs!$B$7*Inputs!$B$8)*Inputs!$B$9)/TCO!C8,0))+Inputs!C22)*Inputs!C23/1000*8760*Inputs!$B$13+($A6*Inputs!$B$6*Inputs!$B$7)*Inputs!C26*Inputs!$B$14+$A6*Inputs!C27*12+Inputs!C30*12*Inputs!$B$10)*Inputs!$B$16</f>
        <v>31195.4</v>
      </c>
      <c r="D6" s="28">
        <f>(Inputs!D28+Inputs!D29)*Inputs!$B$10+(IF(OR(Inputs!D21=0,TCO!D8=0),0,MAX(1,ROUNDUP((($A6*Inputs!$B$6*Inputs!$B$7)/(Inputs!$B$7*Inputs!$B$8)*Inputs!$B$9)/TCO!D8,0))+Inputs!D22)*Inputs!D21/Inputs!$B$15+IF(OR(Inputs!D21=0,TCO!D8=0),0,MAX(1,ROUNDUP((($A6*Inputs!$B$6*Inputs!$B$7)/(Inputs!$B$7*Inputs!$B$8)*Inputs!$B$9)/TCO!D8,0))+Inputs!D22)*Inputs!D23/1000*8760*Inputs!$B$13+($A6*Inputs!$B$6*Inputs!$B$7)*Inputs!D26*Inputs!$B$14+$A6*Inputs!D27*12+Inputs!D30*12*Inputs!$B$10)*Inputs!$B$16</f>
        <v>93194.799999999988</v>
      </c>
      <c r="E6" s="28">
        <f>(Inputs!E28+Inputs!E29)*Inputs!$B$10+(IF(OR(Inputs!E21=0,TCO!E8=0),0,MAX(1,ROUNDUP((($A6*Inputs!$B$6*Inputs!$B$7)/(Inputs!$B$7*Inputs!$B$8)*Inputs!$B$9)/TCO!E8,0))+Inputs!E22)*Inputs!E21/Inputs!$B$15+IF(OR(Inputs!E21=0,TCO!E8=0),0,MAX(1,ROUNDUP((($A6*Inputs!$B$6*Inputs!$B$7)/(Inputs!$B$7*Inputs!$B$8)*Inputs!$B$9)/TCO!E8,0))+Inputs!E22)*Inputs!E23/1000*8760*Inputs!$B$13+($A6*Inputs!$B$6*Inputs!$B$7)*Inputs!E26*Inputs!$B$14+$A6*Inputs!E27*12+Inputs!E30*12*Inputs!$B$10)*Inputs!$B$16</f>
        <v>50060</v>
      </c>
      <c r="F6" s="4" t="str">
        <f t="shared" si="0"/>
        <v>CI runner, 9B model</v>
      </c>
      <c r="G6" s="30">
        <f>IF(($A6*Inputs!$B$6*Inputs!$B$7)=0,0,MIN(B6:E6)/(($A6*Inputs!$B$6*Inputs!$B$7)*Inputs!$B$16))</f>
        <v>1.7081481481481482</v>
      </c>
    </row>
    <row r="7" spans="1:7" x14ac:dyDescent="0.2">
      <c r="A7" s="7">
        <v>50</v>
      </c>
      <c r="B7" s="28">
        <f>(Inputs!B28+Inputs!B29)*Inputs!$B$10+(IF(OR(Inputs!B21=0,TCO!B8=0),0,MAX(1,ROUNDUP((($A7*Inputs!$B$6*Inputs!$B$7)/(Inputs!$B$7*Inputs!$B$8)*Inputs!$B$9)/TCO!B8,0))+Inputs!B22)*Inputs!B21/Inputs!$B$15+IF(OR(Inputs!B21=0,TCO!B8=0),0,MAX(1,ROUNDUP((($A7*Inputs!$B$6*Inputs!$B$7)/(Inputs!$B$7*Inputs!$B$8)*Inputs!$B$9)/TCO!B8,0))+Inputs!B22)*Inputs!B23/1000*8760*Inputs!$B$13+($A7*Inputs!$B$6*Inputs!$B$7)*Inputs!B26*Inputs!$B$14+$A7*Inputs!B27*12+Inputs!B30*12*Inputs!$B$10)*Inputs!$B$16</f>
        <v>20176</v>
      </c>
      <c r="C7" s="28">
        <f>(Inputs!C28+Inputs!C29)*Inputs!$B$10+(IF(OR(Inputs!C21=0,TCO!C8=0),0,MAX(1,ROUNDUP((($A7*Inputs!$B$6*Inputs!$B$7)/(Inputs!$B$7*Inputs!$B$8)*Inputs!$B$9)/TCO!C8,0))+Inputs!C22)*Inputs!C21/Inputs!$B$15+IF(OR(Inputs!C21=0,TCO!C8=0),0,MAX(1,ROUNDUP((($A7*Inputs!$B$6*Inputs!$B$7)/(Inputs!$B$7*Inputs!$B$8)*Inputs!$B$9)/TCO!C8,0))+Inputs!C22)*Inputs!C23/1000*8760*Inputs!$B$13+($A7*Inputs!$B$6*Inputs!$B$7)*Inputs!C26*Inputs!$B$14+$A7*Inputs!C27*12+Inputs!C30*12*Inputs!$B$10)*Inputs!$B$16</f>
        <v>31368.2</v>
      </c>
      <c r="D7" s="28">
        <f>(Inputs!D28+Inputs!D29)*Inputs!$B$10+(IF(OR(Inputs!D21=0,TCO!D8=0),0,MAX(1,ROUNDUP((($A7*Inputs!$B$6*Inputs!$B$7)/(Inputs!$B$7*Inputs!$B$8)*Inputs!$B$9)/TCO!D8,0))+Inputs!D22)*Inputs!D21/Inputs!$B$15+IF(OR(Inputs!D21=0,TCO!D8=0),0,MAX(1,ROUNDUP((($A7*Inputs!$B$6*Inputs!$B$7)/(Inputs!$B$7*Inputs!$B$8)*Inputs!$B$9)/TCO!D8,0))+Inputs!D22)*Inputs!D23/1000*8760*Inputs!$B$13+($A7*Inputs!$B$6*Inputs!$B$7)*Inputs!D26*Inputs!$B$14+$A7*Inputs!D27*12+Inputs!D30*12*Inputs!$B$10)*Inputs!$B$16</f>
        <v>93367.6</v>
      </c>
      <c r="E7" s="28">
        <f>(Inputs!E28+Inputs!E29)*Inputs!$B$10+(IF(OR(Inputs!E21=0,TCO!E8=0),0,MAX(1,ROUNDUP((($A7*Inputs!$B$6*Inputs!$B$7)/(Inputs!$B$7*Inputs!$B$8)*Inputs!$B$9)/TCO!E8,0))+Inputs!E22)*Inputs!E21/Inputs!$B$15+IF(OR(Inputs!E21=0,TCO!E8=0),0,MAX(1,ROUNDUP((($A7*Inputs!$B$6*Inputs!$B$7)/(Inputs!$B$7*Inputs!$B$8)*Inputs!$B$9)/TCO!E8,0))+Inputs!E22)*Inputs!E23/1000*8760*Inputs!$B$13+($A7*Inputs!$B$6*Inputs!$B$7)*Inputs!E26*Inputs!$B$14+$A7*Inputs!E27*12+Inputs!E30*12*Inputs!$B$10)*Inputs!$B$16</f>
        <v>86060</v>
      </c>
      <c r="F7" s="4" t="str">
        <f t="shared" si="0"/>
        <v>CI runner, 9B model</v>
      </c>
      <c r="G7" s="30">
        <f>IF(($A7*Inputs!$B$6*Inputs!$B$7)=0,0,MIN(B7:E7)/(($A7*Inputs!$B$6*Inputs!$B$7)*Inputs!$B$16))</f>
        <v>0.93407407407407406</v>
      </c>
    </row>
    <row r="8" spans="1:7" x14ac:dyDescent="0.2">
      <c r="A8" s="7">
        <v>100</v>
      </c>
      <c r="B8" s="28">
        <f>(Inputs!B28+Inputs!B29)*Inputs!$B$10+(IF(OR(Inputs!B21=0,TCO!B8=0),0,MAX(1,ROUNDUP((($A8*Inputs!$B$6*Inputs!$B$7)/(Inputs!$B$7*Inputs!$B$8)*Inputs!$B$9)/TCO!B8,0))+Inputs!B22)*Inputs!B21/Inputs!$B$15+IF(OR(Inputs!B21=0,TCO!B8=0),0,MAX(1,ROUNDUP((($A8*Inputs!$B$6*Inputs!$B$7)/(Inputs!$B$7*Inputs!$B$8)*Inputs!$B$9)/TCO!B8,0))+Inputs!B22)*Inputs!B23/1000*8760*Inputs!$B$13+($A8*Inputs!$B$6*Inputs!$B$7)*Inputs!B26*Inputs!$B$14+$A8*Inputs!B27*12+Inputs!B30*12*Inputs!$B$10)*Inputs!$B$16</f>
        <v>23632</v>
      </c>
      <c r="C8" s="28">
        <f>(Inputs!C28+Inputs!C29)*Inputs!$B$10+(IF(OR(Inputs!C21=0,TCO!C8=0),0,MAX(1,ROUNDUP((($A8*Inputs!$B$6*Inputs!$B$7)/(Inputs!$B$7*Inputs!$B$8)*Inputs!$B$9)/TCO!C8,0))+Inputs!C22)*Inputs!C21/Inputs!$B$15+IF(OR(Inputs!C21=0,TCO!C8=0),0,MAX(1,ROUNDUP((($A8*Inputs!$B$6*Inputs!$B$7)/(Inputs!$B$7*Inputs!$B$8)*Inputs!$B$9)/TCO!C8,0))+Inputs!C22)*Inputs!C23/1000*8760*Inputs!$B$13+($A8*Inputs!$B$6*Inputs!$B$7)*Inputs!C26*Inputs!$B$14+$A8*Inputs!C27*12+Inputs!C30*12*Inputs!$B$10)*Inputs!$B$16</f>
        <v>31713.800000000003</v>
      </c>
      <c r="D8" s="28">
        <f>(Inputs!D28+Inputs!D29)*Inputs!$B$10+(IF(OR(Inputs!D21=0,TCO!D8=0),0,MAX(1,ROUNDUP((($A8*Inputs!$B$6*Inputs!$B$7)/(Inputs!$B$7*Inputs!$B$8)*Inputs!$B$9)/TCO!D8,0))+Inputs!D22)*Inputs!D21/Inputs!$B$15+IF(OR(Inputs!D21=0,TCO!D8=0),0,MAX(1,ROUNDUP((($A8*Inputs!$B$6*Inputs!$B$7)/(Inputs!$B$7*Inputs!$B$8)*Inputs!$B$9)/TCO!D8,0))+Inputs!D22)*Inputs!D23/1000*8760*Inputs!$B$13+($A8*Inputs!$B$6*Inputs!$B$7)*Inputs!D26*Inputs!$B$14+$A8*Inputs!D27*12+Inputs!D30*12*Inputs!$B$10)*Inputs!$B$16</f>
        <v>93713.200000000012</v>
      </c>
      <c r="E8" s="28">
        <f>(Inputs!E28+Inputs!E29)*Inputs!$B$10+(IF(OR(Inputs!E21=0,TCO!E8=0),0,MAX(1,ROUNDUP((($A8*Inputs!$B$6*Inputs!$B$7)/(Inputs!$B$7*Inputs!$B$8)*Inputs!$B$9)/TCO!E8,0))+Inputs!E22)*Inputs!E21/Inputs!$B$15+IF(OR(Inputs!E21=0,TCO!E8=0),0,MAX(1,ROUNDUP((($A8*Inputs!$B$6*Inputs!$B$7)/(Inputs!$B$7*Inputs!$B$8)*Inputs!$B$9)/TCO!E8,0))+Inputs!E22)*Inputs!E23/1000*8760*Inputs!$B$13+($A8*Inputs!$B$6*Inputs!$B$7)*Inputs!E26*Inputs!$B$14+$A8*Inputs!E27*12+Inputs!E30*12*Inputs!$B$10)*Inputs!$B$16</f>
        <v>158060</v>
      </c>
      <c r="F8" s="4" t="str">
        <f t="shared" si="0"/>
        <v>CI runner, 9B model</v>
      </c>
      <c r="G8" s="30">
        <f>IF(($A8*Inputs!$B$6*Inputs!$B$7)=0,0,MIN(B8:E8)/(($A8*Inputs!$B$6*Inputs!$B$7)*Inputs!$B$16))</f>
        <v>0.54703703703703699</v>
      </c>
    </row>
    <row r="9" spans="1:7" x14ac:dyDescent="0.2">
      <c r="A9" s="7">
        <v>200</v>
      </c>
      <c r="B9" s="28">
        <f>(Inputs!B28+Inputs!B29)*Inputs!$B$10+(IF(OR(Inputs!B21=0,TCO!B8=0),0,MAX(1,ROUNDUP((($A9*Inputs!$B$6*Inputs!$B$7)/(Inputs!$B$7*Inputs!$B$8)*Inputs!$B$9)/TCO!B8,0))+Inputs!B22)*Inputs!B21/Inputs!$B$15+IF(OR(Inputs!B21=0,TCO!B8=0),0,MAX(1,ROUNDUP((($A9*Inputs!$B$6*Inputs!$B$7)/(Inputs!$B$7*Inputs!$B$8)*Inputs!$B$9)/TCO!B8,0))+Inputs!B22)*Inputs!B23/1000*8760*Inputs!$B$13+($A9*Inputs!$B$6*Inputs!$B$7)*Inputs!B26*Inputs!$B$14+$A9*Inputs!B27*12+Inputs!B30*12*Inputs!$B$10)*Inputs!$B$16</f>
        <v>30544</v>
      </c>
      <c r="C9" s="28">
        <f>(Inputs!C28+Inputs!C29)*Inputs!$B$10+(IF(OR(Inputs!C21=0,TCO!C8=0),0,MAX(1,ROUNDUP((($A9*Inputs!$B$6*Inputs!$B$7)/(Inputs!$B$7*Inputs!$B$8)*Inputs!$B$9)/TCO!C8,0))+Inputs!C22)*Inputs!C21/Inputs!$B$15+IF(OR(Inputs!C21=0,TCO!C8=0),0,MAX(1,ROUNDUP((($A9*Inputs!$B$6*Inputs!$B$7)/(Inputs!$B$7*Inputs!$B$8)*Inputs!$B$9)/TCO!C8,0))+Inputs!C22)*Inputs!C23/1000*8760*Inputs!$B$13+($A9*Inputs!$B$6*Inputs!$B$7)*Inputs!C26*Inputs!$B$14+$A9*Inputs!C27*12+Inputs!C30*12*Inputs!$B$10)*Inputs!$B$16</f>
        <v>32405</v>
      </c>
      <c r="D9" s="28">
        <f>(Inputs!D28+Inputs!D29)*Inputs!$B$10+(IF(OR(Inputs!D21=0,TCO!D8=0),0,MAX(1,ROUNDUP((($A9*Inputs!$B$6*Inputs!$B$7)/(Inputs!$B$7*Inputs!$B$8)*Inputs!$B$9)/TCO!D8,0))+Inputs!D22)*Inputs!D21/Inputs!$B$15+IF(OR(Inputs!D21=0,TCO!D8=0),0,MAX(1,ROUNDUP((($A9*Inputs!$B$6*Inputs!$B$7)/(Inputs!$B$7*Inputs!$B$8)*Inputs!$B$9)/TCO!D8,0))+Inputs!D22)*Inputs!D23/1000*8760*Inputs!$B$13+($A9*Inputs!$B$6*Inputs!$B$7)*Inputs!D26*Inputs!$B$14+$A9*Inputs!D27*12+Inputs!D30*12*Inputs!$B$10)*Inputs!$B$16</f>
        <v>94404.4</v>
      </c>
      <c r="E9" s="28">
        <f>(Inputs!E28+Inputs!E29)*Inputs!$B$10+(IF(OR(Inputs!E21=0,TCO!E8=0),0,MAX(1,ROUNDUP((($A9*Inputs!$B$6*Inputs!$B$7)/(Inputs!$B$7*Inputs!$B$8)*Inputs!$B$9)/TCO!E8,0))+Inputs!E22)*Inputs!E21/Inputs!$B$15+IF(OR(Inputs!E21=0,TCO!E8=0),0,MAX(1,ROUNDUP((($A9*Inputs!$B$6*Inputs!$B$7)/(Inputs!$B$7*Inputs!$B$8)*Inputs!$B$9)/TCO!E8,0))+Inputs!E22)*Inputs!E23/1000*8760*Inputs!$B$13+($A9*Inputs!$B$6*Inputs!$B$7)*Inputs!E26*Inputs!$B$14+$A9*Inputs!E27*12+Inputs!E30*12*Inputs!$B$10)*Inputs!$B$16</f>
        <v>302060</v>
      </c>
      <c r="F9" s="4" t="str">
        <f t="shared" si="0"/>
        <v>CI runner, 9B model</v>
      </c>
      <c r="G9" s="30">
        <f>IF(($A9*Inputs!$B$6*Inputs!$B$7)=0,0,MIN(B9:E9)/(($A9*Inputs!$B$6*Inputs!$B$7)*Inputs!$B$16))</f>
        <v>0.35351851851851851</v>
      </c>
    </row>
    <row r="10" spans="1:7" x14ac:dyDescent="0.2">
      <c r="A10" s="7">
        <v>500</v>
      </c>
      <c r="B10" s="28">
        <f>(Inputs!B28+Inputs!B29)*Inputs!$B$10+(IF(OR(Inputs!B21=0,TCO!B8=0),0,MAX(1,ROUNDUP((($A10*Inputs!$B$6*Inputs!$B$7)/(Inputs!$B$7*Inputs!$B$8)*Inputs!$B$9)/TCO!B8,0))+Inputs!B22)*Inputs!B21/Inputs!$B$15+IF(OR(Inputs!B21=0,TCO!B8=0),0,MAX(1,ROUNDUP((($A10*Inputs!$B$6*Inputs!$B$7)/(Inputs!$B$7*Inputs!$B$8)*Inputs!$B$9)/TCO!B8,0))+Inputs!B22)*Inputs!B23/1000*8760*Inputs!$B$13+($A10*Inputs!$B$6*Inputs!$B$7)*Inputs!B26*Inputs!$B$14+$A10*Inputs!B27*12+Inputs!B30*12*Inputs!$B$10)*Inputs!$B$16</f>
        <v>51280</v>
      </c>
      <c r="C10" s="28">
        <f>(Inputs!C28+Inputs!C29)*Inputs!$B$10+(IF(OR(Inputs!C21=0,TCO!C8=0),0,MAX(1,ROUNDUP((($A10*Inputs!$B$6*Inputs!$B$7)/(Inputs!$B$7*Inputs!$B$8)*Inputs!$B$9)/TCO!C8,0))+Inputs!C22)*Inputs!C21/Inputs!$B$15+IF(OR(Inputs!C21=0,TCO!C8=0),0,MAX(1,ROUNDUP((($A10*Inputs!$B$6*Inputs!$B$7)/(Inputs!$B$7*Inputs!$B$8)*Inputs!$B$9)/TCO!C8,0))+Inputs!C22)*Inputs!C23/1000*8760*Inputs!$B$13+($A10*Inputs!$B$6*Inputs!$B$7)*Inputs!C26*Inputs!$B$14+$A10*Inputs!C27*12+Inputs!C30*12*Inputs!$B$10)*Inputs!$B$16</f>
        <v>34478.6</v>
      </c>
      <c r="D10" s="28">
        <f>(Inputs!D28+Inputs!D29)*Inputs!$B$10+(IF(OR(Inputs!D21=0,TCO!D8=0),0,MAX(1,ROUNDUP((($A10*Inputs!$B$6*Inputs!$B$7)/(Inputs!$B$7*Inputs!$B$8)*Inputs!$B$9)/TCO!D8,0))+Inputs!D22)*Inputs!D21/Inputs!$B$15+IF(OR(Inputs!D21=0,TCO!D8=0),0,MAX(1,ROUNDUP((($A10*Inputs!$B$6*Inputs!$B$7)/(Inputs!$B$7*Inputs!$B$8)*Inputs!$B$9)/TCO!D8,0))+Inputs!D22)*Inputs!D23/1000*8760*Inputs!$B$13+($A10*Inputs!$B$6*Inputs!$B$7)*Inputs!D26*Inputs!$B$14+$A10*Inputs!D27*12+Inputs!D30*12*Inputs!$B$10)*Inputs!$B$16</f>
        <v>96478</v>
      </c>
      <c r="E10" s="28">
        <f>(Inputs!E28+Inputs!E29)*Inputs!$B$10+(IF(OR(Inputs!E21=0,TCO!E8=0),0,MAX(1,ROUNDUP((($A10*Inputs!$B$6*Inputs!$B$7)/(Inputs!$B$7*Inputs!$B$8)*Inputs!$B$9)/TCO!E8,0))+Inputs!E22)*Inputs!E21/Inputs!$B$15+IF(OR(Inputs!E21=0,TCO!E8=0),0,MAX(1,ROUNDUP((($A10*Inputs!$B$6*Inputs!$B$7)/(Inputs!$B$7*Inputs!$B$8)*Inputs!$B$9)/TCO!E8,0))+Inputs!E22)*Inputs!E23/1000*8760*Inputs!$B$13+($A10*Inputs!$B$6*Inputs!$B$7)*Inputs!E26*Inputs!$B$14+$A10*Inputs!E27*12+Inputs!E30*12*Inputs!$B$10)*Inputs!$B$16</f>
        <v>734060</v>
      </c>
      <c r="F10" s="4" t="str">
        <f t="shared" si="0"/>
        <v>Team server, 20B model</v>
      </c>
      <c r="G10" s="30">
        <f>IF(($A10*Inputs!$B$6*Inputs!$B$7)=0,0,MIN(B10:E10)/(($A10*Inputs!$B$6*Inputs!$B$7)*Inputs!$B$16))</f>
        <v>0.15962314814814815</v>
      </c>
    </row>
    <row r="11" spans="1:7" x14ac:dyDescent="0.2">
      <c r="A11" s="7">
        <v>1000</v>
      </c>
      <c r="B11" s="28">
        <f>(Inputs!B28+Inputs!B29)*Inputs!$B$10+(IF(OR(Inputs!B21=0,TCO!B8=0),0,MAX(1,ROUNDUP((($A11*Inputs!$B$6*Inputs!$B$7)/(Inputs!$B$7*Inputs!$B$8)*Inputs!$B$9)/TCO!B8,0))+Inputs!B22)*Inputs!B21/Inputs!$B$15+IF(OR(Inputs!B21=0,TCO!B8=0),0,MAX(1,ROUNDUP((($A11*Inputs!$B$6*Inputs!$B$7)/(Inputs!$B$7*Inputs!$B$8)*Inputs!$B$9)/TCO!B8,0))+Inputs!B22)*Inputs!B23/1000*8760*Inputs!$B$13+($A11*Inputs!$B$6*Inputs!$B$7)*Inputs!B26*Inputs!$B$14+$A11*Inputs!B27*12+Inputs!B30*12*Inputs!$B$10)*Inputs!$B$16</f>
        <v>85840</v>
      </c>
      <c r="C11" s="28">
        <f>(Inputs!C28+Inputs!C29)*Inputs!$B$10+(IF(OR(Inputs!C21=0,TCO!C8=0),0,MAX(1,ROUNDUP((($A11*Inputs!$B$6*Inputs!$B$7)/(Inputs!$B$7*Inputs!$B$8)*Inputs!$B$9)/TCO!C8,0))+Inputs!C22)*Inputs!C21/Inputs!$B$15+IF(OR(Inputs!C21=0,TCO!C8=0),0,MAX(1,ROUNDUP((($A11*Inputs!$B$6*Inputs!$B$7)/(Inputs!$B$7*Inputs!$B$8)*Inputs!$B$9)/TCO!C8,0))+Inputs!C22)*Inputs!C23/1000*8760*Inputs!$B$13+($A11*Inputs!$B$6*Inputs!$B$7)*Inputs!C26*Inputs!$B$14+$A11*Inputs!C27*12+Inputs!C30*12*Inputs!$B$10)*Inputs!$B$16</f>
        <v>37934.6</v>
      </c>
      <c r="D11" s="28">
        <f>(Inputs!D28+Inputs!D29)*Inputs!$B$10+(IF(OR(Inputs!D21=0,TCO!D8=0),0,MAX(1,ROUNDUP((($A11*Inputs!$B$6*Inputs!$B$7)/(Inputs!$B$7*Inputs!$B$8)*Inputs!$B$9)/TCO!D8,0))+Inputs!D22)*Inputs!D21/Inputs!$B$15+IF(OR(Inputs!D21=0,TCO!D8=0),0,MAX(1,ROUNDUP((($A11*Inputs!$B$6*Inputs!$B$7)/(Inputs!$B$7*Inputs!$B$8)*Inputs!$B$9)/TCO!D8,0))+Inputs!D22)*Inputs!D23/1000*8760*Inputs!$B$13+($A11*Inputs!$B$6*Inputs!$B$7)*Inputs!D26*Inputs!$B$14+$A11*Inputs!D27*12+Inputs!D30*12*Inputs!$B$10)*Inputs!$B$16</f>
        <v>99934</v>
      </c>
      <c r="E11" s="28">
        <f>(Inputs!E28+Inputs!E29)*Inputs!$B$10+(IF(OR(Inputs!E21=0,TCO!E8=0),0,MAX(1,ROUNDUP((($A11*Inputs!$B$6*Inputs!$B$7)/(Inputs!$B$7*Inputs!$B$8)*Inputs!$B$9)/TCO!E8,0))+Inputs!E22)*Inputs!E21/Inputs!$B$15+IF(OR(Inputs!E21=0,TCO!E8=0),0,MAX(1,ROUNDUP((($A11*Inputs!$B$6*Inputs!$B$7)/(Inputs!$B$7*Inputs!$B$8)*Inputs!$B$9)/TCO!E8,0))+Inputs!E22)*Inputs!E23/1000*8760*Inputs!$B$13+($A11*Inputs!$B$6*Inputs!$B$7)*Inputs!E26*Inputs!$B$14+$A11*Inputs!E27*12+Inputs!E30*12*Inputs!$B$10)*Inputs!$B$16</f>
        <v>1454060</v>
      </c>
      <c r="F11" s="4" t="str">
        <f t="shared" si="0"/>
        <v>Team server, 20B model</v>
      </c>
      <c r="G11" s="30">
        <f>IF(($A11*Inputs!$B$6*Inputs!$B$7)=0,0,MIN(B11:E11)/(($A11*Inputs!$B$6*Inputs!$B$7)*Inputs!$B$16))</f>
        <v>8.781157407407407E-2</v>
      </c>
    </row>
    <row r="12" spans="1:7" x14ac:dyDescent="0.2">
      <c r="A12" s="7">
        <v>2000</v>
      </c>
      <c r="B12" s="28">
        <f>(Inputs!B28+Inputs!B29)*Inputs!$B$10+(IF(OR(Inputs!B21=0,TCO!B8=0),0,MAX(1,ROUNDUP((($A12*Inputs!$B$6*Inputs!$B$7)/(Inputs!$B$7*Inputs!$B$8)*Inputs!$B$9)/TCO!B8,0))+Inputs!B22)*Inputs!B21/Inputs!$B$15+IF(OR(Inputs!B21=0,TCO!B8=0),0,MAX(1,ROUNDUP((($A12*Inputs!$B$6*Inputs!$B$7)/(Inputs!$B$7*Inputs!$B$8)*Inputs!$B$9)/TCO!B8,0))+Inputs!B22)*Inputs!B23/1000*8760*Inputs!$B$13+($A12*Inputs!$B$6*Inputs!$B$7)*Inputs!B26*Inputs!$B$14+$A12*Inputs!B27*12+Inputs!B30*12*Inputs!$B$10)*Inputs!$B$16</f>
        <v>154960</v>
      </c>
      <c r="C12" s="28">
        <f>(Inputs!C28+Inputs!C29)*Inputs!$B$10+(IF(OR(Inputs!C21=0,TCO!C8=0),0,MAX(1,ROUNDUP((($A12*Inputs!$B$6*Inputs!$B$7)/(Inputs!$B$7*Inputs!$B$8)*Inputs!$B$9)/TCO!C8,0))+Inputs!C22)*Inputs!C21/Inputs!$B$15+IF(OR(Inputs!C21=0,TCO!C8=0),0,MAX(1,ROUNDUP((($A12*Inputs!$B$6*Inputs!$B$7)/(Inputs!$B$7*Inputs!$B$8)*Inputs!$B$9)/TCO!C8,0))+Inputs!C22)*Inputs!C23/1000*8760*Inputs!$B$13+($A12*Inputs!$B$6*Inputs!$B$7)*Inputs!C26*Inputs!$B$14+$A12*Inputs!C27*12+Inputs!C30*12*Inputs!$B$10)*Inputs!$B$16</f>
        <v>50029.2</v>
      </c>
      <c r="D12" s="28">
        <f>(Inputs!D28+Inputs!D29)*Inputs!$B$10+(IF(OR(Inputs!D21=0,TCO!D8=0),0,MAX(1,ROUNDUP((($A12*Inputs!$B$6*Inputs!$B$7)/(Inputs!$B$7*Inputs!$B$8)*Inputs!$B$9)/TCO!D8,0))+Inputs!D22)*Inputs!D21/Inputs!$B$15+IF(OR(Inputs!D21=0,TCO!D8=0),0,MAX(1,ROUNDUP((($A12*Inputs!$B$6*Inputs!$B$7)/(Inputs!$B$7*Inputs!$B$8)*Inputs!$B$9)/TCO!D8,0))+Inputs!D22)*Inputs!D23/1000*8760*Inputs!$B$13+($A12*Inputs!$B$6*Inputs!$B$7)*Inputs!D26*Inputs!$B$14+$A12*Inputs!D27*12+Inputs!D30*12*Inputs!$B$10)*Inputs!$B$16</f>
        <v>106846</v>
      </c>
      <c r="E12" s="28">
        <f>(Inputs!E28+Inputs!E29)*Inputs!$B$10+(IF(OR(Inputs!E21=0,TCO!E8=0),0,MAX(1,ROUNDUP((($A12*Inputs!$B$6*Inputs!$B$7)/(Inputs!$B$7*Inputs!$B$8)*Inputs!$B$9)/TCO!E8,0))+Inputs!E22)*Inputs!E21/Inputs!$B$15+IF(OR(Inputs!E21=0,TCO!E8=0),0,MAX(1,ROUNDUP((($A12*Inputs!$B$6*Inputs!$B$7)/(Inputs!$B$7*Inputs!$B$8)*Inputs!$B$9)/TCO!E8,0))+Inputs!E22)*Inputs!E23/1000*8760*Inputs!$B$13+($A12*Inputs!$B$6*Inputs!$B$7)*Inputs!E26*Inputs!$B$14+$A12*Inputs!E27*12+Inputs!E30*12*Inputs!$B$10)*Inputs!$B$16</f>
        <v>2894060</v>
      </c>
      <c r="F12" s="4" t="str">
        <f t="shared" si="0"/>
        <v>Team server, 20B model</v>
      </c>
      <c r="G12" s="30">
        <f>IF(($A12*Inputs!$B$6*Inputs!$B$7)=0,0,MIN(B12:E12)/(($A12*Inputs!$B$6*Inputs!$B$7)*Inputs!$B$16))</f>
        <v>5.7904166666666666E-2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s="31" t="s">
        <v>90</v>
      </c>
    </row>
    <row r="2" spans="1:1" x14ac:dyDescent="0.2">
      <c r="A2" s="13" t="s">
        <v>91</v>
      </c>
    </row>
    <row r="3" spans="1:1" x14ac:dyDescent="0.2">
      <c r="A3" s="13" t="s">
        <v>92</v>
      </c>
    </row>
    <row r="4" spans="1:1" x14ac:dyDescent="0.2">
      <c r="A4" s="13" t="s">
        <v>93</v>
      </c>
    </row>
    <row r="5" spans="1:1" x14ac:dyDescent="0.2">
      <c r="A5" s="13"/>
    </row>
    <row r="6" spans="1:1" x14ac:dyDescent="0.2">
      <c r="A6" s="31" t="s">
        <v>94</v>
      </c>
    </row>
    <row r="7" spans="1:1" ht="28" x14ac:dyDescent="0.2">
      <c r="A7" s="13" t="s">
        <v>95</v>
      </c>
    </row>
    <row r="8" spans="1:1" x14ac:dyDescent="0.2">
      <c r="A8" s="13" t="s">
        <v>96</v>
      </c>
    </row>
    <row r="9" spans="1:1" x14ac:dyDescent="0.2">
      <c r="A9" s="13" t="s">
        <v>97</v>
      </c>
    </row>
    <row r="10" spans="1:1" x14ac:dyDescent="0.2">
      <c r="A10" s="13" t="s">
        <v>98</v>
      </c>
    </row>
    <row r="11" spans="1:1" x14ac:dyDescent="0.2">
      <c r="A11" s="13"/>
    </row>
    <row r="12" spans="1:1" x14ac:dyDescent="0.2">
      <c r="A12" s="31" t="s">
        <v>99</v>
      </c>
    </row>
    <row r="13" spans="1:1" ht="28" x14ac:dyDescent="0.2">
      <c r="A13" s="13" t="s">
        <v>100</v>
      </c>
    </row>
    <row r="14" spans="1:1" ht="28" x14ac:dyDescent="0.2">
      <c r="A14" s="13" t="s">
        <v>101</v>
      </c>
    </row>
    <row r="15" spans="1:1" ht="28" x14ac:dyDescent="0.2">
      <c r="A15" s="13" t="s">
        <v>102</v>
      </c>
    </row>
    <row r="16" spans="1:1" x14ac:dyDescent="0.2">
      <c r="A16" s="13"/>
    </row>
    <row r="17" spans="1:1" x14ac:dyDescent="0.2">
      <c r="A17" s="31" t="s">
        <v>103</v>
      </c>
    </row>
    <row r="18" spans="1:1" ht="28" x14ac:dyDescent="0.2">
      <c r="A18" s="13" t="s">
        <v>104</v>
      </c>
    </row>
    <row r="19" spans="1:1" x14ac:dyDescent="0.2">
      <c r="A19" s="13" t="s">
        <v>105</v>
      </c>
    </row>
    <row r="20" spans="1:1" x14ac:dyDescent="0.2">
      <c r="A20" s="1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TCO</vt:lpstr>
      <vt:lpstr>Sensitivity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Cameron Hopkin</cp:lastModifiedBy>
  <dcterms:created xsi:type="dcterms:W3CDTF">2026-10-17T15:07:06Z</dcterms:created>
  <dcterms:modified xsi:type="dcterms:W3CDTF">2026-10-17T15:07:56Z</dcterms:modified>
</cp:coreProperties>
</file>